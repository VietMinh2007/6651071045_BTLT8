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380" activeTab="1"/>
  </bookViews>
  <sheets>
    <sheet name="Tiêu chí MC" sheetId="2" r:id="rId1"/>
    <sheet name="CNTT.66" sheetId="4" r:id="rId2"/>
    <sheet name="Kiến nghị"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<sst xmlns="http://schemas.openxmlformats.org/spreadsheetml/2006/main" count="164" uniqueCount="131">
  <si>
    <t>TIÊU CHÍ YÊU CẦU MINH CHỨNG (file PDF, trong HK2 2025-2026)</t>
  </si>
  <si>
    <t>Cột 2A</t>
  </si>
  <si>
    <t>Điểm</t>
  </si>
  <si>
    <t>Minh chứng hợp lệ</t>
  </si>
  <si>
    <t>Không hợp lệ (gặp trong đợt này)</t>
  </si>
  <si>
    <t>T/C1 – b</t>
  </si>
  <si>
    <t>GCN tham gia NCKH hoặc QĐ 934 nghiệm thu; QĐ/GCN đội tuyển thi học thuật (QĐ 927 AI, QĐ 1012 Olympic, Code4Future); chứng chỉ khóa học; DS thành viên tích cực CLB học thuật có dấu HSV</t>
  </si>
  <si>
    <t>QĐ 2429 (chỉ giao nhiệm vụ, chưa nghiệm thu); chứng chỉ cấp trong HK1; ảnh chụp Facebook</t>
  </si>
  <si>
    <t>T/C4 – b</t>
  </si>
  <si>
    <t>GCN chiến dịch tình nguyện lớn: Hiến máu, Tiếp sức mùa thi, Mùa hè xanh…; hoạt động xã hội được đơn vị ngoài trường (từ cấp phường) ghi nhận, có dấu</t>
  </si>
  <si>
    <t>Giấy hiến máu tháng 11/2025 (HK1); "Thanh niên khỏe 2026"; tập huấn PCCC 10/8/2026; minigame online</t>
  </si>
  <si>
    <t>T/C5 – a</t>
  </si>
  <si>
    <t>QĐ/DS cán bộ lớp, Đoàn, Hội, BCN CLB; thành viên tích cực CLB có dấu HSV; đảng viên Chi bộ SV; giấy khen/QĐ đạt giải NCKH (QĐ 943), Olympic, thi học thuật (QĐ 944), Hội thao</t>
  </si>
  <si>
    <t>QĐ 934 hoặc 2429 đặt tên "đạt giải"; file Excel BCS không dấu; "Thanh niên khỏe"</t>
  </si>
  <si>
    <t>T/C5 – b</t>
  </si>
  <si>
    <t>Có tên trong Ban tổ chức hoặc xác nhận của BTC hoạt động cấp Khoa/trường (DS BTC Workshop Blockchain 07/4/2026, KH 07 Hiến máu đợt 2)</t>
  </si>
  <si>
    <t>Tham quan doanh nghiệp; Giải bóng đá Đoàn BM (đơn ghi dùng cho HK1); KH 25 ngày 27/8/2026 (ngoài HK2)</t>
  </si>
  <si>
    <t>Lưu ý chưa thống nhất: đơn "Tiếp sức mùa thi – kỳ thi ĐGNL" (18/9/2026, 10 SV) đang tính là 4b cho 2 SV, 5b cho 3 SV và không dùng cho 5 SV còn lại. Hướng dẫn xếp Tiếp sức mùa thi vào 4b → đề nghị tính thống nhất 4b (4 điểm). Bản scan không thấy dấu Đoàn trường.</t>
  </si>
  <si>
    <t>LỚP CNTT.66 – KẾT QUẢ KIỂM TRA</t>
  </si>
  <si>
    <t>Dòng TT đg đã hạ hầu hết điểm không có minh chứng, chỉ còn 2 SV thiếu minh chứng 5b và 2 SV cần thống nhất 4b/5b. Ngược lại, 14 SV có căn cứ hợp lệ nhưng TT chưa cộng, trong đó 10 SV đã nộp sẵn đúng file.</t>
  </si>
  <si>
    <t>A. Đã cộng điểm nhưng minh chứng thiếu hoặc sai</t>
  </si>
  <si>
    <t>MSSV</t>
  </si>
  <si>
    <t>Họ tên</t>
  </si>
  <si>
    <t>TT đg</t>
  </si>
  <si>
    <t>Xếp loại hiện tại</t>
  </si>
  <si>
    <t>Mục</t>
  </si>
  <si>
    <t>Hiện trạng</t>
  </si>
  <si>
    <t>Cần bổ sung</t>
  </si>
  <si>
    <t>Điểm bị trừ nếu không bổ sung</t>
  </si>
  <si>
    <t>Điểm nếu không bổ sung</t>
  </si>
  <si>
    <t>Xếp loại nếu không bổ sung</t>
  </si>
  <si>
    <t>6651071086</t>
  </si>
  <si>
    <t>Phạm Đan Trường</t>
  </si>
  <si>
    <t>5b</t>
  </si>
  <si>
    <t>Không có file 5b; không có tên trong DS BTC Workshop; đơn ĐGNL đã dùng cho 4b</t>
  </si>
  <si>
    <t>Văn bản BTC hoạt động cấp Khoa/trường có tên</t>
  </si>
  <si>
    <t>6651071001</t>
  </si>
  <si>
    <t>Vũ Bảo An</t>
  </si>
  <si>
    <t>File "5b" là QĐ 246 (Ban Tổ chức Đoàn trường, đã là căn cứ 5a) và KH 25 ngày 27/8/2026 (ngoài HK2)</t>
  </si>
  <si>
    <t>DS BTC Workshop Blockchain (CV 05-CV/ĐTN, 10/9/2026), có tên STT 6</t>
  </si>
  <si>
    <t>6651071022</t>
  </si>
  <si>
    <t>Nguyễn Đức Hiền</t>
  </si>
  <si>
    <t>Chỉ có đơn Tiếp sức mùa thi ĐGNL (thuộc 4b theo hướng dẫn)</t>
  </si>
  <si>
    <t>Thống nhất: chuyển thành 4b = 4, 5b = 0 (giảm 1đ)</t>
  </si>
  <si>
    <t>6651071075</t>
  </si>
  <si>
    <t>Trần Nhật Tiến</t>
  </si>
  <si>
    <t>Như trên</t>
  </si>
  <si>
    <t>B. Có căn cứ nhưng điểm TT chưa cộng</t>
  </si>
  <si>
    <t>Mục có thể cộng</t>
  </si>
  <si>
    <t>Căn cứ</t>
  </si>
  <si>
    <t/>
  </si>
  <si>
    <t>Điểm có thể cộng</t>
  </si>
  <si>
    <t>Điểm nếu cộng</t>
  </si>
  <si>
    <t>Xếp loại nếu cộng</t>
  </si>
  <si>
    <t>6651071024</t>
  </si>
  <si>
    <t>Nguyễn Phạm Huy Hoàng</t>
  </si>
  <si>
    <t>5a + 5b</t>
  </si>
  <si>
    <t>Đã nộp DS cán bộ Đoàn (Bí thư chi đoàn K66; UV BCH Đoàn BM theo QĐ 235) và DS BTC Workshop</t>
  </si>
  <si>
    <t>6651071067</t>
  </si>
  <si>
    <t>Phan Minh Tân</t>
  </si>
  <si>
    <t>1b + 4b</t>
  </si>
  <si>
    <t>Đã nộp QĐ 927 (đội K66_dream_team) và đơn Tiếp sức mùa thi</t>
  </si>
  <si>
    <t>6651071058</t>
  </si>
  <si>
    <t>Lê Hồng Ngọc Quý</t>
  </si>
  <si>
    <t>Đã nộp DS cán bộ Đoàn (UV BCH chi đoàn) và DS BTC Workshop</t>
  </si>
  <si>
    <t>6651071071</t>
  </si>
  <si>
    <t>Phạm Ngọc Thắng</t>
  </si>
  <si>
    <t>1b (+4b)</t>
  </si>
  <si>
    <t>Đã nộp QĐ 927; có tên trong đơn Tiếp sức mùa thi (nếu tính 4b thêm 4đ)</t>
  </si>
  <si>
    <t>6651071051</t>
  </si>
  <si>
    <t>Đỗ Ngọc Thảo Như</t>
  </si>
  <si>
    <t>Đã nộp DS BTC Workshop</t>
  </si>
  <si>
    <t>6651071091</t>
  </si>
  <si>
    <t>Lê Thị Ngọc Tuyết</t>
  </si>
  <si>
    <t>4b</t>
  </si>
  <si>
    <t>Có tên trong đơn Tiếp sức mùa thi (chưa nộp)</t>
  </si>
  <si>
    <t>6651071065</t>
  </si>
  <si>
    <t>Nguyễn Phúc Khai Tâm</t>
  </si>
  <si>
    <t>6651071078</t>
  </si>
  <si>
    <t>Nguyễn Trần Trung Tính</t>
  </si>
  <si>
    <t>6651071077</t>
  </si>
  <si>
    <t>Nguyễn Trung Tỉnh</t>
  </si>
  <si>
    <t>5a</t>
  </si>
  <si>
    <t>Đã nộp giấy khen giải Ba kéo co Hội thao UTC2 (23/4/2026); Nguyễn Thị Ngọc Đẹp cùng đội đã được cộng</t>
  </si>
  <si>
    <t>6651071026</t>
  </si>
  <si>
    <t>Hồ Gia Huệ</t>
  </si>
  <si>
    <t>Đã nộp ảnh cắt DS cán bộ Đoàn (UV BCH chi đoàn); cần PDF đầy đủ có dấu</t>
  </si>
  <si>
    <t>6651071068</t>
  </si>
  <si>
    <t>Bùi Quốc Thái</t>
  </si>
  <si>
    <t>Đã nộp đơn Tiếp sức mùa thi (đặt nhầm vào 5b)</t>
  </si>
  <si>
    <t>6651071097</t>
  </si>
  <si>
    <t>Hồ Ngọc Hưng</t>
  </si>
  <si>
    <t>1b</t>
  </si>
  <si>
    <t>Có tên trong QĐ 1012 (thi SV giỏi Đại số) nhưng chỉ nộp ảnh bảng ký thi; Huỳnh Việt Minh cùng kỳ thi được cộng 5</t>
  </si>
  <si>
    <t>6651071013</t>
  </si>
  <si>
    <t>Nguyễn Thành Đạt</t>
  </si>
  <si>
    <t>5a (+1b)</t>
  </si>
  <si>
    <t>QĐ 944 tặng giấy khen cuộc thi "AI trong giao thông thông minh"; có tên QĐ 286 Code4Future (nếu tính 1b thêm 5đ). File đã nộp là bài tập viết tay (3 bản giống nhau) và GCN Thanh niên khỏe</t>
  </si>
  <si>
    <t>6651071064</t>
  </si>
  <si>
    <t>Nguyễn Đức Tài</t>
  </si>
  <si>
    <t>Có tên trong QĐ 1012 (thi SV giỏi Tin học). File "AIQuangBa_1B" thực chất là QĐ 253 cuộc thi Review UTC2 (18/8/2026)</t>
  </si>
  <si>
    <t>Còn nhiều SV có tên trong văn bản gốc nhưng chưa nộp gì: đội kéo co giải Ba (Nguyễn Ngọc Phương Lam, Nguyễn Trần Thiên Long, Huỳnh Quang Khải, Trần Minh Khôi, Nguyễn Phương Nam); QĐ 944 (Lê Võ Đức Huy, Nguyễn Trường Vũ, Nguyễn Nhất Vũ, Nguyễn Giang Tưởng, Huỳnh Văn Lĩnh); QĐ 1012 (Trương Nguyễn Tấn Sĩ, Nguyễn Lê Quý Trọng, Lê Đình Sơn và một số bạn khác).</t>
  </si>
  <si>
    <t>C. Sai sót khác trong 2A</t>
  </si>
  <si>
    <t>• Đoàn Vũ Tuấn Kiệt (STT 30) không tự đánh giá. Dòng TT chỉ còn 2a, 2b, 2e, 2f (15 điểm); 2c, 2g, 3a–3d, 4a–4e đều 0. Hướng dẫn mục 4 yêu cầu CVHT và tập thể vẫn phải đánh giá; trường hợp tương tự ở CNTT.65 vẫn được chấm mục 3, 4 → cần xác nhận.</t>
  </si>
  <si>
    <t>• 1a: 7 SV có môn không đạt nhưng 1a = 5: Châu Thiện An, Nguyễn Đức Đại Dương, Nguyễn Phạm Huy Hoàng, Đoàn Văn Lộc, Trần Vũ Thanh Triển và cả hai Nguyễn Thanh Phong (STT 48 có 3 môn không đạt). Rê chuột ô 1a để kiểm tra. 1d khớp bảng điểm.</t>
  </si>
  <si>
    <t>• Võ Nguyễn Sarol vi phạm quy chế thi, 1c = 0 là đúng. STT 48 "Nguyễn Thanh Phong" có MSSV 6551071064 (SV K65 học cùng K66), trùng tên với STT 50.</t>
  </si>
  <si>
    <t>• 2d = 0 (không đánh giá CVHT, hệ thống tự cập nhật): Châu Thiện An, Nguyễn Trần Duy Bảo, Lê Cường Bảo, Đoàn Vũ Tuấn Kiệt, Nguyễn Trần Thiên Long, Nguyễn Phương Nam, Lưu Trọng Nguyên, Tôn Thất Thành Tài.</t>
  </si>
  <si>
    <t>• TT đã chấm 0 đúng với: "Thanh niên khỏe 2026" (9 SV); tập huấn PCCC 10/8/2026 (Vũ Bảo An, Trần Trọng Nguyên, Bùi Quốc Thái); tham quan doanh nghiệp (Huỳnh Việt Minh, Bùi Quốc Thái); chứng chỉ AI khóa 29/9–15/10/2025 (Lê Cường Bảo); Review UTC2 18/8/2026 (4 SV).</t>
  </si>
  <si>
    <t>• SV tự chấm cao, không nộp gì, TT đã hạ đúng: Nguyễn Phúc Minh (100 → 80), Lưu Trọng Nguyên (100 → 76,5), hai bạn Nguyễn Thanh Phong, Hồ Ngọc Quân, Nguyễn Lê Quý Trọng, Đoàn Xuân Tín, Đoàn Phước Tuyên, Ngô Đức Tuấn, Đặng Quốc Vương.</t>
  </si>
  <si>
    <t>• Đặt tên sai mục: QĐ 944 của Nguyễn Thị Hồng Nhung đặt "5B" (phải 5A); Review UTC2 của Khai Tâm đặt "5A"; DS cán bộ Đoàn của Huy Hoàng nằm trong thư mục "4b_BCS". Không phải PDF: Huỳnh Việt Minh, Hồ Gia Huệ, Phạm Thanh Trúc (1b), Trần Ngọc Minh Vũ, Phạm Đan Trường (4b), Vũ Bảo An.</t>
  </si>
  <si>
    <t>D. Đã đủ minh chứng cho các mục được cộng</t>
  </si>
  <si>
    <t>Ngô Thị Ngọc Ánh, Ngô Thuận Dương, Nguyễn Thị Ngọc Đẹp, Lê Phan Trung Đông, Nguyễn Ngọc Phương Lam, Huỳnh Việt Minh, Nguyễn Thị Hồng Nhung, Đỗ Ngọc Thảo Như, Trương Nguyễn Tấn Sĩ, Nguyễn Tấn Tài, Lê Thị Ngọc Tuyết, Bùi Thanh Thảo, Phạm Ngọc Thắng, Nguyễn Thị Huyền Trân, Phạm Thanh Trúc, Trần Ngọc Minh Vũ; Vũ Bảo An (5a); Phạm Đan Trường (1b, 4b, 5a).</t>
  </si>
  <si>
    <t>KIẾN NGHỊ VÀ VIỆC CẦN LÀM (trước 17/10/2026)</t>
  </si>
  <si>
    <t>STT</t>
  </si>
  <si>
    <t>Việc cần làm</t>
  </si>
  <si>
    <t>Lớp</t>
  </si>
  <si>
    <t>Trạng thái</t>
  </si>
  <si>
    <t>Gửi QĐ 943 (khen thưởng NCKH) cho cả lớp; nhắc mục 5a "đạt giải NCKH" phải nộp QĐ 943 hoặc giấy khen, không nộp QĐ 934/2429</t>
  </si>
  <si>
    <t>CNTT.65</t>
  </si>
  <si>
    <t>Chưa làm</t>
  </si>
  <si>
    <t>Gửi GCN NCKH (gcn76, gcn85) cho Hình Vĩnh Phát và Võ Hoàng Phúc; gửi QĐ 235 cho Dương Ngọc Ánh</t>
  </si>
  <si>
    <t>Xác định bạn Trần Minh Tú nào (STT 76 hay 77) là thành viên đề tài 86 trong QĐ 934; bạn còn lại hạ 1b về 0</t>
  </si>
  <si>
    <t>Quyết định có chấp nhận phiếu xác nhận 27/7/2026 của Lê Minh Chí cho 4b hay không</t>
  </si>
  <si>
    <t>Sửa 2e, 2f = 2,5 cho Nguyễn Tiến Dũng, Đỗ Minh Tín, Nguyễn Quốc Thái</t>
  </si>
  <si>
    <t>Thống nhất đơn Tiếp sức mùa thi ĐGNL là 4b cho cả 10 SV; chỉnh 4b/5b của Hiền, Tiến, Huy Khang, Tân, Thái, Thắng, Tuyết</t>
  </si>
  <si>
    <t>Cả hai</t>
  </si>
  <si>
    <t>Phạm Đan Trường bổ sung minh chứng 5b hoặc hạ 5b; Vũ Bảo An tải DS BTC Workshop</t>
  </si>
  <si>
    <t>CNTT.66</t>
  </si>
  <si>
    <t>Xét cộng điểm cho các SV ở mục B, ưu tiên 10 SV CNTT.66 đã nộp sẵn file hợp lệ</t>
  </si>
  <si>
    <t>Xác nhận dòng TT của Đoàn Vũ Tuấn Kiệt (15 điểm) và kiểm tra ô 1a của 8 SV có môn không đạt</t>
  </si>
  <si>
    <t>Nhắc chung: chuyển ảnh/Excel sang PDF, đặt tên file đúng mục, xóa file không liên quan (bài tập viết tay, QĐ 2429, Thanh niên khỏe)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</si>
</sst>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4"/>
      <color rgb="FF1F4E78"/>
      <name val="Arial"/>
      <charset val="134"/>
    </font>
    <font>
      <b/>
      <sz val="10"/>
      <color rgb="FFFFFFFF"/>
      <name val="Arial"/>
      <charset val="134"/>
    </font>
    <font>
      <sz val="10"/>
      <name val="Arial"/>
      <charset val="134"/>
    </font>
    <font>
      <b/>
      <sz val="11"/>
      <color rgb="FF1F4E78"/>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0" borderId="0" xfId="0" applyFont="1" applyAlignment="1">
      <alignment vertical="top" wrapText="1"/>
    </xf>
    <xf numFmtId="0" fontId="4" fillId="0" borderId="0" xfId="0" applyFont="1"/>
    <xf numFmtId="0" fontId="0" fillId="0" borderId="2"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C25" sqref="C25"/>
    </sheetView>
  </sheetViews>
  <sheetFormatPr defaultColWidth="9" defaultRowHeight="14.25" outlineLevelRow="7" outlineLevelCol="3"/>
  <cols>
    <col min="1" max="1" width="12" customWidth="1"/>
    <col min="2" max="2" width="8" customWidth="1"/>
    <col min="3" max="3" width="70" customWidth="1"/>
    <col min="4" max="4" width="55" customWidth="1"/>
  </cols>
  <sheetData>
    <row r="1" ht="17.6" spans="1:4">
      <c r="A1" s="1" t="s">
        <v>0</v>
      </c>
    </row>
    <row r="2" spans="1:4">
      <c r="A2" s="2" t="s">
        <v>1</v>
      </c>
      <c r="B2" s="2" t="s">
        <v>2</v>
      </c>
      <c r="C2" s="2" t="s">
        <v>3</v>
      </c>
      <c r="D2" s="2" t="s">
        <v>4</v>
      </c>
    </row>
    <row r="3" ht="38.25" spans="1:4">
      <c r="A3" s="3" t="s">
        <v>5</v>
      </c>
      <c r="B3" s="3">
        <v>5</v>
      </c>
      <c r="C3" s="3" t="s">
        <v>6</v>
      </c>
      <c r="D3" s="3" t="s">
        <v>7</v>
      </c>
    </row>
    <row r="4" ht="25.5" spans="1:4">
      <c r="A4" s="3" t="s">
        <v>8</v>
      </c>
      <c r="B4" s="3">
        <v>4</v>
      </c>
      <c r="C4" s="3" t="s">
        <v>9</v>
      </c>
      <c r="D4" s="3" t="s">
        <v>10</v>
      </c>
    </row>
    <row r="5" ht="38.25" spans="1:4">
      <c r="A5" s="3" t="s">
        <v>11</v>
      </c>
      <c r="B5" s="3">
        <v>5</v>
      </c>
      <c r="C5" s="3" t="s">
        <v>12</v>
      </c>
      <c r="D5" s="3" t="s">
        <v>13</v>
      </c>
    </row>
    <row r="6" ht="25.5" spans="1:4">
      <c r="A6" s="3" t="s">
        <v>14</v>
      </c>
      <c r="B6" s="3">
        <v>5</v>
      </c>
      <c r="C6" s="3" t="s">
        <v>15</v>
      </c>
      <c r="D6" s="3" t="s">
        <v>16</v>
      </c>
    </row>
    <row r="8" ht="45" customHeight="1" spans="1:4">
      <c r="A8" s="4" t="s">
        <v>17</v>
      </c>
    </row>
  </sheetData>
  <mergeCells count="1">
    <mergeCell ref="A8:D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tabSelected="1" topLeftCell="A3" workbookViewId="0">
      <selection activeCell="C17" sqref="C17"/>
    </sheetView>
  </sheetViews>
  <sheetFormatPr defaultColWidth="9" defaultRowHeight="14.25"/>
  <cols>
    <col min="1" max="1" width="12" customWidth="1"/>
    <col min="2" max="2" width="22" customWidth="1"/>
    <col min="3" max="3" width="8" customWidth="1"/>
    <col min="4" max="4" width="11" customWidth="1"/>
    <col min="5" max="5" width="10" customWidth="1"/>
    <col min="6" max="6" width="45" customWidth="1"/>
    <col min="7" max="7" width="38" customWidth="1"/>
    <col min="8" max="8" width="12" customWidth="1"/>
    <col min="9" max="9" width="11" customWidth="1"/>
    <col min="10" max="10" width="13" customWidth="1"/>
  </cols>
  <sheetData>
    <row r="1" ht="17.6" spans="1:10">
      <c r="A1" s="1" t="s">
        <v>18</v>
      </c>
    </row>
    <row r="2" ht="30" customHeight="1" spans="1:10">
      <c r="A2" s="4" t="s">
        <v>19</v>
      </c>
    </row>
    <row r="4" spans="1:10">
      <c r="A4" s="5" t="s">
        <v>20</v>
      </c>
    </row>
    <row r="5" ht="39.4" spans="1:10">
      <c r="A5" s="2" t="s">
        <v>21</v>
      </c>
      <c r="B5" s="2" t="s">
        <v>22</v>
      </c>
      <c r="C5" s="2" t="s">
        <v>23</v>
      </c>
      <c r="D5" s="2" t="s">
        <v>24</v>
      </c>
      <c r="E5" s="2" t="s">
        <v>25</v>
      </c>
      <c r="F5" s="2" t="s">
        <v>26</v>
      </c>
      <c r="G5" s="2" t="s">
        <v>27</v>
      </c>
      <c r="H5" s="2" t="s">
        <v>28</v>
      </c>
      <c r="I5" s="2" t="s">
        <v>29</v>
      </c>
      <c r="J5" s="2" t="s">
        <v>30</v>
      </c>
    </row>
    <row r="6" ht="25.5" spans="1:10">
      <c r="A6" s="3" t="s">
        <v>31</v>
      </c>
      <c r="B6" s="3" t="s">
        <v>32</v>
      </c>
      <c r="C6" s="3">
        <v>100</v>
      </c>
      <c r="D6" s="3" t="str">
        <f>IF(C6&gt;=90,"Xuất sắc",IF(C6&gt;=80,"Tốt",IF(C6&gt;=65,"Khá",IF(C6&gt;=50,"Trung bình",IF(C6&gt;=35,"Yếu","Kém")))))</f>
        <v>Xuất sắc</v>
      </c>
      <c r="E6" s="3" t="s">
        <v>33</v>
      </c>
      <c r="F6" s="3" t="s">
        <v>34</v>
      </c>
      <c r="G6" s="3" t="s">
        <v>35</v>
      </c>
      <c r="H6" s="3">
        <v>5</v>
      </c>
      <c r="I6" s="3">
        <f>C6-H6</f>
        <v>95</v>
      </c>
      <c r="J6" s="3" t="str">
        <f>IF(I6&gt;=90,"Xuất sắc",IF(I6&gt;=80,"Tốt",IF(I6&gt;=65,"Khá",IF(I6&gt;=50,"Trung bình",IF(I6&gt;=35,"Yếu","Kém")))))</f>
        <v>Xuất sắc</v>
      </c>
    </row>
    <row r="7" ht="25.5" spans="1:10">
      <c r="A7" s="3" t="s">
        <v>36</v>
      </c>
      <c r="B7" s="3" t="s">
        <v>37</v>
      </c>
      <c r="C7" s="3">
        <v>89</v>
      </c>
      <c r="D7" s="3" t="str">
        <f>IF(C7&gt;=90,"Xuất sắc",IF(C7&gt;=80,"Tốt",IF(C7&gt;=65,"Khá",IF(C7&gt;=50,"Trung bình",IF(C7&gt;=35,"Yếu","Kém")))))</f>
        <v>Tốt</v>
      </c>
      <c r="E7" s="3" t="s">
        <v>33</v>
      </c>
      <c r="F7" s="3" t="s">
        <v>38</v>
      </c>
      <c r="G7" s="3" t="s">
        <v>39</v>
      </c>
      <c r="H7" s="3">
        <v>5</v>
      </c>
      <c r="I7" s="3">
        <f>C7-H7</f>
        <v>84</v>
      </c>
      <c r="J7" s="3" t="str">
        <f>IF(I7&gt;=90,"Xuất sắc",IF(I7&gt;=80,"Tốt",IF(I7&gt;=65,"Khá",IF(I7&gt;=50,"Trung bình",IF(I7&gt;=35,"Yếu","Kém")))))</f>
        <v>Tốt</v>
      </c>
    </row>
    <row r="8" ht="25.5" spans="1:10">
      <c r="A8" s="3" t="s">
        <v>40</v>
      </c>
      <c r="B8" s="3" t="s">
        <v>41</v>
      </c>
      <c r="C8" s="3">
        <v>91</v>
      </c>
      <c r="D8" s="3" t="str">
        <f>IF(C8&gt;=90,"Xuất sắc",IF(C8&gt;=80,"Tốt",IF(C8&gt;=65,"Khá",IF(C8&gt;=50,"Trung bình",IF(C8&gt;=35,"Yếu","Kém")))))</f>
        <v>Xuất sắc</v>
      </c>
      <c r="E8" s="3" t="s">
        <v>33</v>
      </c>
      <c r="F8" s="3" t="s">
        <v>42</v>
      </c>
      <c r="G8" s="3" t="s">
        <v>43</v>
      </c>
      <c r="H8" s="3">
        <v>1</v>
      </c>
      <c r="I8" s="3">
        <f>C8-H8</f>
        <v>90</v>
      </c>
      <c r="J8" s="3" t="str">
        <f>IF(I8&gt;=90,"Xuất sắc",IF(I8&gt;=80,"Tốt",IF(I8&gt;=65,"Khá",IF(I8&gt;=50,"Trung bình",IF(I8&gt;=35,"Yếu","Kém")))))</f>
        <v>Xuất sắc</v>
      </c>
    </row>
    <row r="9" spans="1:10">
      <c r="A9" s="3" t="s">
        <v>44</v>
      </c>
      <c r="B9" s="3" t="s">
        <v>45</v>
      </c>
      <c r="C9" s="3">
        <v>86</v>
      </c>
      <c r="D9" s="3" t="str">
        <f>IF(C9&gt;=90,"Xuất sắc",IF(C9&gt;=80,"Tốt",IF(C9&gt;=65,"Khá",IF(C9&gt;=50,"Trung bình",IF(C9&gt;=35,"Yếu","Kém")))))</f>
        <v>Tốt</v>
      </c>
      <c r="E9" s="3" t="s">
        <v>33</v>
      </c>
      <c r="F9" s="3" t="s">
        <v>46</v>
      </c>
      <c r="G9" s="3" t="s">
        <v>46</v>
      </c>
      <c r="H9" s="3">
        <v>1</v>
      </c>
      <c r="I9" s="3">
        <f>C9-H9</f>
        <v>85</v>
      </c>
      <c r="J9" s="3" t="str">
        <f>IF(I9&gt;=90,"Xuất sắc",IF(I9&gt;=80,"Tốt",IF(I9&gt;=65,"Khá",IF(I9&gt;=50,"Trung bình",IF(I9&gt;=35,"Yếu","Kém")))))</f>
        <v>Tốt</v>
      </c>
    </row>
    <row r="11" spans="1:10">
      <c r="A11" s="5" t="s">
        <v>47</v>
      </c>
    </row>
    <row r="12" ht="26.25" spans="1:10">
      <c r="A12" s="2" t="s">
        <v>21</v>
      </c>
      <c r="B12" s="2" t="s">
        <v>22</v>
      </c>
      <c r="C12" s="2" t="s">
        <v>23</v>
      </c>
      <c r="D12" s="2" t="s">
        <v>24</v>
      </c>
      <c r="E12" s="2" t="s">
        <v>48</v>
      </c>
      <c r="F12" s="2" t="s">
        <v>49</v>
      </c>
      <c r="G12" s="2" t="s">
        <v>50</v>
      </c>
      <c r="H12" s="2" t="s">
        <v>51</v>
      </c>
      <c r="I12" s="2" t="s">
        <v>52</v>
      </c>
      <c r="J12" s="2" t="s">
        <v>53</v>
      </c>
    </row>
    <row r="13" spans="1:10">
      <c r="A13" s="3" t="s">
        <v>54</v>
      </c>
      <c r="B13" s="3" t="s">
        <v>55</v>
      </c>
      <c r="C13" s="3">
        <v>80</v>
      </c>
      <c r="D13" s="3" t="str">
        <f t="shared" ref="D13:D26" si="0">IF(C13&gt;=90,"Xuất sắc",IF(C13&gt;=80,"Tốt",IF(C13&gt;=65,"Khá",IF(C13&gt;=50,"Trung bình",IF(C13&gt;=35,"Yếu","Kém")))))</f>
        <v>Tốt</v>
      </c>
      <c r="E13" s="3" t="s">
        <v>56</v>
      </c>
      <c r="F13" s="3" t="s">
        <v>57</v>
      </c>
      <c r="G13" s="6"/>
      <c r="H13" s="3">
        <v>10</v>
      </c>
      <c r="I13" s="3">
        <f t="shared" ref="I13:I26" si="1">C13+H13</f>
        <v>90</v>
      </c>
      <c r="J13" s="3" t="str">
        <f t="shared" ref="J13:J26" si="2">IF(I13&gt;=90,"Xuất sắc",IF(I13&gt;=80,"Tốt",IF(I13&gt;=65,"Khá",IF(I13&gt;=50,"Trung bình",IF(I13&gt;=35,"Yếu","Kém")))))</f>
        <v>Xuất sắc</v>
      </c>
    </row>
    <row r="14" spans="1:10">
      <c r="A14" s="3" t="s">
        <v>58</v>
      </c>
      <c r="B14" s="3" t="s">
        <v>59</v>
      </c>
      <c r="C14" s="3">
        <v>81</v>
      </c>
      <c r="D14" s="3" t="str">
        <f t="shared" si="0"/>
        <v>Tốt</v>
      </c>
      <c r="E14" s="3" t="s">
        <v>60</v>
      </c>
      <c r="F14" s="3" t="s">
        <v>61</v>
      </c>
      <c r="G14" s="6"/>
      <c r="H14" s="3">
        <v>9</v>
      </c>
      <c r="I14" s="3">
        <f t="shared" si="1"/>
        <v>90</v>
      </c>
      <c r="J14" s="3" t="str">
        <f t="shared" si="2"/>
        <v>Xuất sắc</v>
      </c>
    </row>
    <row r="15" spans="1:10">
      <c r="A15" s="3" t="s">
        <v>62</v>
      </c>
      <c r="B15" s="3" t="s">
        <v>63</v>
      </c>
      <c r="C15" s="3">
        <v>78</v>
      </c>
      <c r="D15" s="3" t="str">
        <f t="shared" si="0"/>
        <v>Khá</v>
      </c>
      <c r="E15" s="3" t="s">
        <v>56</v>
      </c>
      <c r="F15" s="3" t="s">
        <v>64</v>
      </c>
      <c r="G15" s="6"/>
      <c r="H15" s="3">
        <v>10</v>
      </c>
      <c r="I15" s="3">
        <f t="shared" si="1"/>
        <v>88</v>
      </c>
      <c r="J15" s="3" t="str">
        <f t="shared" si="2"/>
        <v>Tốt</v>
      </c>
    </row>
    <row r="16" spans="1:10">
      <c r="A16" s="3" t="s">
        <v>65</v>
      </c>
      <c r="B16" s="3" t="s">
        <v>66</v>
      </c>
      <c r="C16" s="3">
        <v>91</v>
      </c>
      <c r="D16" s="3" t="str">
        <f t="shared" si="0"/>
        <v>Xuất sắc</v>
      </c>
      <c r="E16" s="3" t="s">
        <v>67</v>
      </c>
      <c r="F16" s="3" t="s">
        <v>68</v>
      </c>
      <c r="G16" s="6"/>
      <c r="H16" s="3">
        <v>5</v>
      </c>
      <c r="I16" s="3">
        <f t="shared" si="1"/>
        <v>96</v>
      </c>
      <c r="J16" s="3" t="str">
        <f t="shared" si="2"/>
        <v>Xuất sắc</v>
      </c>
    </row>
    <row r="17" spans="1:10">
      <c r="A17" s="3" t="s">
        <v>69</v>
      </c>
      <c r="B17" s="3" t="s">
        <v>70</v>
      </c>
      <c r="C17" s="3">
        <v>91</v>
      </c>
      <c r="D17" s="3" t="str">
        <f t="shared" si="0"/>
        <v>Xuất sắc</v>
      </c>
      <c r="E17" s="3" t="s">
        <v>33</v>
      </c>
      <c r="F17" s="3" t="s">
        <v>71</v>
      </c>
      <c r="G17" s="6"/>
      <c r="H17" s="3">
        <v>5</v>
      </c>
      <c r="I17" s="3">
        <f t="shared" si="1"/>
        <v>96</v>
      </c>
      <c r="J17" s="3" t="str">
        <f t="shared" si="2"/>
        <v>Xuất sắc</v>
      </c>
    </row>
    <row r="18" spans="1:10">
      <c r="A18" s="3" t="s">
        <v>72</v>
      </c>
      <c r="B18" s="3" t="s">
        <v>73</v>
      </c>
      <c r="C18" s="3">
        <v>91</v>
      </c>
      <c r="D18" s="3" t="str">
        <f t="shared" si="0"/>
        <v>Xuất sắc</v>
      </c>
      <c r="E18" s="3" t="s">
        <v>74</v>
      </c>
      <c r="F18" s="3" t="s">
        <v>75</v>
      </c>
      <c r="G18" s="6"/>
      <c r="H18" s="3">
        <v>4</v>
      </c>
      <c r="I18" s="3">
        <f t="shared" si="1"/>
        <v>95</v>
      </c>
      <c r="J18" s="3" t="str">
        <f t="shared" si="2"/>
        <v>Xuất sắc</v>
      </c>
    </row>
    <row r="19" spans="1:10">
      <c r="A19" s="3" t="s">
        <v>76</v>
      </c>
      <c r="B19" s="3" t="s">
        <v>77</v>
      </c>
      <c r="C19" s="3">
        <v>79</v>
      </c>
      <c r="D19" s="3" t="str">
        <f t="shared" si="0"/>
        <v>Khá</v>
      </c>
      <c r="E19" s="3" t="s">
        <v>33</v>
      </c>
      <c r="F19" s="3" t="s">
        <v>71</v>
      </c>
      <c r="G19" s="6"/>
      <c r="H19" s="3">
        <v>5</v>
      </c>
      <c r="I19" s="3">
        <f t="shared" si="1"/>
        <v>84</v>
      </c>
      <c r="J19" s="3" t="str">
        <f t="shared" si="2"/>
        <v>Tốt</v>
      </c>
    </row>
    <row r="20" spans="1:10">
      <c r="A20" s="3" t="s">
        <v>78</v>
      </c>
      <c r="B20" s="3" t="s">
        <v>79</v>
      </c>
      <c r="C20" s="3">
        <v>79</v>
      </c>
      <c r="D20" s="3" t="str">
        <f t="shared" si="0"/>
        <v>Khá</v>
      </c>
      <c r="E20" s="3" t="s">
        <v>33</v>
      </c>
      <c r="F20" s="3" t="s">
        <v>71</v>
      </c>
      <c r="G20" s="6"/>
      <c r="H20" s="3">
        <v>5</v>
      </c>
      <c r="I20" s="3">
        <f t="shared" si="1"/>
        <v>84</v>
      </c>
      <c r="J20" s="3" t="str">
        <f t="shared" si="2"/>
        <v>Tốt</v>
      </c>
    </row>
    <row r="21" spans="1:10">
      <c r="A21" s="3" t="s">
        <v>80</v>
      </c>
      <c r="B21" s="3" t="s">
        <v>81</v>
      </c>
      <c r="C21" s="3">
        <v>78</v>
      </c>
      <c r="D21" s="3" t="str">
        <f t="shared" si="0"/>
        <v>Khá</v>
      </c>
      <c r="E21" s="3" t="s">
        <v>82</v>
      </c>
      <c r="F21" s="3" t="s">
        <v>83</v>
      </c>
      <c r="G21" s="6"/>
      <c r="H21" s="3">
        <v>5</v>
      </c>
      <c r="I21" s="3">
        <f t="shared" si="1"/>
        <v>83</v>
      </c>
      <c r="J21" s="3" t="str">
        <f t="shared" si="2"/>
        <v>Tốt</v>
      </c>
    </row>
    <row r="22" spans="1:10">
      <c r="A22" s="3" t="s">
        <v>84</v>
      </c>
      <c r="B22" s="3" t="s">
        <v>85</v>
      </c>
      <c r="C22" s="3">
        <v>80</v>
      </c>
      <c r="D22" s="3" t="str">
        <f t="shared" si="0"/>
        <v>Tốt</v>
      </c>
      <c r="E22" s="3" t="s">
        <v>82</v>
      </c>
      <c r="F22" s="3" t="s">
        <v>86</v>
      </c>
      <c r="G22" s="6"/>
      <c r="H22" s="3">
        <v>5</v>
      </c>
      <c r="I22" s="3">
        <f t="shared" si="1"/>
        <v>85</v>
      </c>
      <c r="J22" s="3" t="str">
        <f t="shared" si="2"/>
        <v>Tốt</v>
      </c>
    </row>
    <row r="23" spans="1:10">
      <c r="A23" s="3" t="s">
        <v>87</v>
      </c>
      <c r="B23" s="3" t="s">
        <v>88</v>
      </c>
      <c r="C23" s="3">
        <v>81</v>
      </c>
      <c r="D23" s="3" t="str">
        <f t="shared" si="0"/>
        <v>Tốt</v>
      </c>
      <c r="E23" s="3" t="s">
        <v>74</v>
      </c>
      <c r="F23" s="3" t="s">
        <v>89</v>
      </c>
      <c r="G23" s="6"/>
      <c r="H23" s="3">
        <v>4</v>
      </c>
      <c r="I23" s="3">
        <f t="shared" si="1"/>
        <v>85</v>
      </c>
      <c r="J23" s="3" t="str">
        <f t="shared" si="2"/>
        <v>Tốt</v>
      </c>
    </row>
    <row r="24" spans="1:10">
      <c r="A24" s="3" t="s">
        <v>90</v>
      </c>
      <c r="B24" s="3" t="s">
        <v>91</v>
      </c>
      <c r="C24" s="3">
        <v>81</v>
      </c>
      <c r="D24" s="3" t="str">
        <f t="shared" si="0"/>
        <v>Tốt</v>
      </c>
      <c r="E24" s="3" t="s">
        <v>92</v>
      </c>
      <c r="F24" s="3" t="s">
        <v>93</v>
      </c>
      <c r="G24" s="6"/>
      <c r="H24" s="3">
        <v>5</v>
      </c>
      <c r="I24" s="3">
        <f t="shared" si="1"/>
        <v>86</v>
      </c>
      <c r="J24" s="3" t="str">
        <f t="shared" si="2"/>
        <v>Tốt</v>
      </c>
    </row>
    <row r="25" spans="1:10">
      <c r="A25" s="3" t="s">
        <v>94</v>
      </c>
      <c r="B25" s="3" t="s">
        <v>95</v>
      </c>
      <c r="C25" s="3">
        <v>80</v>
      </c>
      <c r="D25" s="3" t="str">
        <f t="shared" si="0"/>
        <v>Tốt</v>
      </c>
      <c r="E25" s="3" t="s">
        <v>96</v>
      </c>
      <c r="F25" s="3" t="s">
        <v>97</v>
      </c>
      <c r="G25" s="6"/>
      <c r="H25" s="3">
        <v>5</v>
      </c>
      <c r="I25" s="3">
        <f t="shared" si="1"/>
        <v>85</v>
      </c>
      <c r="J25" s="3" t="str">
        <f t="shared" si="2"/>
        <v>Tốt</v>
      </c>
    </row>
    <row r="26" spans="1:10">
      <c r="A26" s="3" t="s">
        <v>98</v>
      </c>
      <c r="B26" s="3" t="s">
        <v>99</v>
      </c>
      <c r="C26" s="3">
        <v>80</v>
      </c>
      <c r="D26" s="3" t="str">
        <f t="shared" si="0"/>
        <v>Tốt</v>
      </c>
      <c r="E26" s="3" t="s">
        <v>92</v>
      </c>
      <c r="F26" s="3" t="s">
        <v>100</v>
      </c>
      <c r="G26" s="6"/>
      <c r="H26" s="3">
        <v>5</v>
      </c>
      <c r="I26" s="3">
        <f t="shared" si="1"/>
        <v>85</v>
      </c>
      <c r="J26" s="3" t="str">
        <f t="shared" si="2"/>
        <v>Tốt</v>
      </c>
    </row>
    <row r="27" ht="45" customHeight="1" spans="1:10">
      <c r="A27" s="4" t="s">
        <v>101</v>
      </c>
    </row>
    <row r="29" spans="1:10">
      <c r="A29" s="5" t="s">
        <v>102</v>
      </c>
    </row>
    <row r="30" ht="30" customHeight="1" spans="1:10">
      <c r="A30" s="4" t="s">
        <v>103</v>
      </c>
    </row>
    <row r="31" ht="30" customHeight="1" spans="1:10">
      <c r="A31" s="4" t="s">
        <v>104</v>
      </c>
    </row>
    <row r="32" ht="15" customHeight="1" spans="1:10">
      <c r="A32" s="4" t="s">
        <v>105</v>
      </c>
    </row>
    <row r="33" ht="30" customHeight="1" spans="1:1">
      <c r="A33" s="4" t="s">
        <v>106</v>
      </c>
    </row>
    <row r="34" ht="30" customHeight="1" spans="1:1">
      <c r="A34" s="4" t="s">
        <v>107</v>
      </c>
    </row>
    <row r="35" ht="30" customHeight="1" spans="1:1">
      <c r="A35" s="4" t="s">
        <v>108</v>
      </c>
    </row>
    <row r="36" ht="30" customHeight="1" spans="1:1">
      <c r="A36" s="4" t="s">
        <v>109</v>
      </c>
    </row>
    <row r="38" spans="1:1">
      <c r="A38" s="5" t="s">
        <v>110</v>
      </c>
    </row>
    <row r="39" ht="45" customHeight="1" spans="1:1">
      <c r="A39" s="4" t="s">
        <v>111</v>
      </c>
    </row>
  </sheetData>
  <mergeCells count="24">
    <mergeCell ref="A2:J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A27:J27"/>
    <mergeCell ref="A30:J30"/>
    <mergeCell ref="A31:J31"/>
    <mergeCell ref="A32:J32"/>
    <mergeCell ref="A33:J33"/>
    <mergeCell ref="A34:J34"/>
    <mergeCell ref="A35:J35"/>
    <mergeCell ref="A36:J36"/>
    <mergeCell ref="A39:J3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B1" sqref="B1"/>
    </sheetView>
  </sheetViews>
  <sheetFormatPr defaultColWidth="9" defaultRowHeight="14.25" outlineLevelCol="3"/>
  <cols>
    <col min="1" max="1" width="6" customWidth="1"/>
    <col min="2" max="2" width="95" customWidth="1"/>
    <col min="3" max="3" width="10" customWidth="1"/>
    <col min="4" max="4" width="12" customWidth="1"/>
  </cols>
  <sheetData>
    <row r="1" ht="17.6" spans="1:4">
      <c r="A1" s="1" t="s">
        <v>112</v>
      </c>
    </row>
    <row r="2" spans="1:4">
      <c r="A2" s="2" t="s">
        <v>113</v>
      </c>
      <c r="B2" s="2" t="s">
        <v>114</v>
      </c>
      <c r="C2" s="2" t="s">
        <v>115</v>
      </c>
      <c r="D2" s="2" t="s">
        <v>116</v>
      </c>
    </row>
    <row r="3" ht="25.5" spans="1:4">
      <c r="A3" s="3">
        <v>1</v>
      </c>
      <c r="B3" s="3" t="s">
        <v>117</v>
      </c>
      <c r="C3" s="3" t="s">
        <v>118</v>
      </c>
      <c r="D3" s="3" t="s">
        <v>119</v>
      </c>
    </row>
    <row r="4" spans="1:4">
      <c r="A4" s="3">
        <v>2</v>
      </c>
      <c r="B4" s="3" t="s">
        <v>120</v>
      </c>
      <c r="C4" s="3" t="s">
        <v>118</v>
      </c>
      <c r="D4" s="3" t="s">
        <v>119</v>
      </c>
    </row>
    <row r="5" spans="1:4">
      <c r="A5" s="3">
        <v>3</v>
      </c>
      <c r="B5" s="3" t="s">
        <v>121</v>
      </c>
      <c r="C5" s="3" t="s">
        <v>118</v>
      </c>
      <c r="D5" s="3" t="s">
        <v>119</v>
      </c>
    </row>
    <row r="6" spans="1:4">
      <c r="A6" s="3">
        <v>4</v>
      </c>
      <c r="B6" s="3" t="s">
        <v>122</v>
      </c>
      <c r="C6" s="3" t="s">
        <v>118</v>
      </c>
      <c r="D6" s="3" t="s">
        <v>119</v>
      </c>
    </row>
    <row r="7" spans="1:4">
      <c r="A7" s="3">
        <v>5</v>
      </c>
      <c r="B7" s="3" t="s">
        <v>123</v>
      </c>
      <c r="C7" s="3" t="s">
        <v>118</v>
      </c>
      <c r="D7" s="3" t="s">
        <v>119</v>
      </c>
    </row>
    <row r="8" ht="25.5" spans="1:4">
      <c r="A8" s="3">
        <v>6</v>
      </c>
      <c r="B8" s="3" t="s">
        <v>124</v>
      </c>
      <c r="C8" s="3" t="s">
        <v>125</v>
      </c>
      <c r="D8" s="3" t="s">
        <v>119</v>
      </c>
    </row>
    <row r="9" spans="1:4">
      <c r="A9" s="3">
        <v>7</v>
      </c>
      <c r="B9" s="3" t="s">
        <v>126</v>
      </c>
      <c r="C9" s="3" t="s">
        <v>127</v>
      </c>
      <c r="D9" s="3" t="s">
        <v>119</v>
      </c>
    </row>
    <row r="10" spans="1:4">
      <c r="A10" s="3">
        <v>8</v>
      </c>
      <c r="B10" s="3" t="s">
        <v>128</v>
      </c>
      <c r="C10" s="3" t="s">
        <v>125</v>
      </c>
      <c r="D10" s="3" t="s">
        <v>119</v>
      </c>
    </row>
    <row r="11" spans="1:4">
      <c r="A11" s="3">
        <v>9</v>
      </c>
      <c r="B11" s="3" t="s">
        <v>129</v>
      </c>
      <c r="C11" s="3" t="s">
        <v>125</v>
      </c>
      <c r="D11" s="3" t="s">
        <v>119</v>
      </c>
    </row>
    <row r="12" ht="25.5" spans="1:4">
      <c r="A12" s="3">
        <v>10</v>
      </c>
      <c r="B12" s="3" t="s">
        <v>130</v>
      </c>
      <c r="C12" s="3" t="s">
        <v>125</v>
      </c>
      <c r="D12" s="3" t="s">
        <v>119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Tiêu chí MC</vt:lpstr>
      <vt:lpstr>CNTT.66</vt:lpstr>
      <vt:lpstr>Kiến nghị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Duyên Trần</cp:lastModifiedBy>
  <dcterms:created xsi:type="dcterms:W3CDTF">2026-10-08T09:22:00Z</dcterms:created>
  <dcterms:modified xsi:type="dcterms:W3CDTF">2026-10-08T09:37:33Z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99B443A505644299BA6332B2FA4F5144_12</vt:lpwstr>
  </property>
  <property fmtid="{D5CDD505-2E9C-101B-9397-08002B2CF9AE}" pid="3" name="KSOProductBuildVer">
    <vt:lpwstr>1033-12.1.0.27458</vt:lpwstr>
  </property>
  <property fmtid="{D5CDD505-2E9C-101B-9397-08002B2CF9AE}" pid="4" name="CalculationRule">
    <vt:i4>0</vt:i4>
  </property>
</Properties>
</file>